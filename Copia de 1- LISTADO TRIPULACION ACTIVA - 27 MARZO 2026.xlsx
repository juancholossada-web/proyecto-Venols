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uan\OPERACION-VENOLS\"/>
    </mc:Choice>
  </mc:AlternateContent>
  <xr:revisionPtr revIDLastSave="0" documentId="8_{47AD7BAD-3A67-4CBE-9F40-1186DF060CB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1" i="1" l="1"/>
  <c r="B62" i="1" s="1"/>
  <c r="B63" i="1" s="1"/>
  <c r="B64" i="1" s="1"/>
  <c r="B65" i="1" s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F10" i="1" l="1"/>
  <c r="F5" i="1"/>
</calcChain>
</file>

<file path=xl/sharedStrings.xml><?xml version="1.0" encoding="utf-8"?>
<sst xmlns="http://schemas.openxmlformats.org/spreadsheetml/2006/main" count="165" uniqueCount="99">
  <si>
    <t>CAPITAN</t>
  </si>
  <si>
    <t>MOTORISTA</t>
  </si>
  <si>
    <t>SANDRO JIMENEZ</t>
  </si>
  <si>
    <t>RANDY CAMARGO</t>
  </si>
  <si>
    <t>COCINERO</t>
  </si>
  <si>
    <t>RUBENNY FERRER</t>
  </si>
  <si>
    <t>MARINO</t>
  </si>
  <si>
    <t>JUAN LUGO</t>
  </si>
  <si>
    <t>JOSE OJEDA</t>
  </si>
  <si>
    <t>RAMON GOMEZ</t>
  </si>
  <si>
    <t>NOEL PINTO</t>
  </si>
  <si>
    <t xml:space="preserve">JOSE GREGORIO MARIN </t>
  </si>
  <si>
    <t xml:space="preserve">BRACHO CHIRINOS , JIOXIS ENI </t>
  </si>
  <si>
    <t>PRIMER OFICIAL</t>
  </si>
  <si>
    <t>CRISTOPHER JOSE, SALAZAR MORALES</t>
  </si>
  <si>
    <t>TERCER OFICIAL</t>
  </si>
  <si>
    <t>VILLASMIL  MARTINEZ, RENNY MAURICIO</t>
  </si>
  <si>
    <t>JEFE DE MAQUINAS</t>
  </si>
  <si>
    <t>VASQUEZ SIXTO</t>
  </si>
  <si>
    <t>PRIMER OFICIAL MAQUINAS</t>
  </si>
  <si>
    <t>MARIN BOSCAN, JESUS GUILLERMO </t>
  </si>
  <si>
    <t>ACEITERO</t>
  </si>
  <si>
    <t>DIAZ EUGENIO SEGUNDO</t>
  </si>
  <si>
    <t>MARINO / COCINERO</t>
  </si>
  <si>
    <t>QUINTERO MORAN,  DIEGO FERNAN</t>
  </si>
  <si>
    <t>CONTRAMAESTRE</t>
  </si>
  <si>
    <t>MARRUFO CHIRINOS JORGE LUIS</t>
  </si>
  <si>
    <t>MARINO </t>
  </si>
  <si>
    <t>GONZALES LUZARDO, JOHANY JOSE</t>
  </si>
  <si>
    <t>MARINO / AYUD COCINERO</t>
  </si>
  <si>
    <t>PEROZO, DOUGLAS</t>
  </si>
  <si>
    <t>JEFE DE MAQUINA</t>
  </si>
  <si>
    <t>PEROZO MOLERO ENDER HEBERTO</t>
  </si>
  <si>
    <t>RINCON DUGARTE, ENDER ENRIQUE</t>
  </si>
  <si>
    <t>CHOURIO LUGO, NEYCOL JOSE</t>
  </si>
  <si>
    <t>REYES MOSQUERA, EDGAR JOSE</t>
  </si>
  <si>
    <t>COLINA SALAZAR, MOISES DAVID</t>
  </si>
  <si>
    <t>LLAMARTE TEJEDA, JORGE LUIS</t>
  </si>
  <si>
    <t>MARINO / CAMARERO</t>
  </si>
  <si>
    <t>GONZALEZ GOMEZ , HENRY RAFAEL</t>
  </si>
  <si>
    <t>LOPEZ ALVARADO, ISMAEL ALEXANDER</t>
  </si>
  <si>
    <t>DOUGLAS MUÑOZ</t>
  </si>
  <si>
    <t>HERNAN PEREZ</t>
  </si>
  <si>
    <t>JORGE MOSQUERA</t>
  </si>
  <si>
    <t>EDUARDO CARBONELL</t>
  </si>
  <si>
    <t>JONATHAN CABRERA</t>
  </si>
  <si>
    <t>CARLOS VISLIQUEZ</t>
  </si>
  <si>
    <t>ISMAEL BASALO</t>
  </si>
  <si>
    <t>EDGAR CORDERO</t>
  </si>
  <si>
    <t xml:space="preserve">CAPITAN </t>
  </si>
  <si>
    <t>WILLIAM HERNANDEZ</t>
  </si>
  <si>
    <t>GERWIN GARCIA</t>
  </si>
  <si>
    <t>JESUS PACHECO</t>
  </si>
  <si>
    <t>JHONNY MILLAN</t>
  </si>
  <si>
    <t>WILMER ESPINOZA</t>
  </si>
  <si>
    <t>ANTONIO ESCALONA</t>
  </si>
  <si>
    <t>LUIS ALBORNOZ</t>
  </si>
  <si>
    <t>FERNANDO CAMACARO</t>
  </si>
  <si>
    <t>OMER PARRA</t>
  </si>
  <si>
    <t>CARLOS PAZ</t>
  </si>
  <si>
    <t>NERBIS SANTOS</t>
  </si>
  <si>
    <t xml:space="preserve"> </t>
  </si>
  <si>
    <t>OSCAR MENDEZ</t>
  </si>
  <si>
    <t>TRIPULACION</t>
  </si>
  <si>
    <t>CARGO</t>
  </si>
  <si>
    <t>TIMONEL</t>
  </si>
  <si>
    <t>WUILY BASABE</t>
  </si>
  <si>
    <t>MARINO - COCINERO</t>
  </si>
  <si>
    <t>PEDRO JOSE PERNIA LUNA</t>
  </si>
  <si>
    <t>CAMPOS HERNANDEZ, JAVIER JOSE</t>
  </si>
  <si>
    <t>GRUERO</t>
  </si>
  <si>
    <t>CARDOZO MORALES, JESUS ANGEL</t>
  </si>
  <si>
    <t>MOSQUERA JORGE</t>
  </si>
  <si>
    <t>CARDIVILLO OTERO, JOSE RAMON</t>
  </si>
  <si>
    <t xml:space="preserve">MARINO    </t>
  </si>
  <si>
    <t>SOTO CENTENO, RUBEN DARIO</t>
  </si>
  <si>
    <t>TRIPULACION EL PORTEÑO</t>
  </si>
  <si>
    <t>OSCAR GONZALEZ</t>
  </si>
  <si>
    <t>LUILLY CHIRINOS</t>
  </si>
  <si>
    <t>TRIPULACION  MOLLEJA LAKE</t>
  </si>
  <si>
    <t>CI</t>
  </si>
  <si>
    <t xml:space="preserve">TRIPULACION MASCO VIII </t>
  </si>
  <si>
    <t>LEANDRO RINCON</t>
  </si>
  <si>
    <t xml:space="preserve">ALFREDO MIGUEL RIVERO ZAVALA  </t>
  </si>
  <si>
    <t>MAY ANTHONY ROJAS</t>
  </si>
  <si>
    <t>10.914.964</t>
  </si>
  <si>
    <t>22.606.962</t>
  </si>
  <si>
    <t>9.731.979</t>
  </si>
  <si>
    <t>15.524.654</t>
  </si>
  <si>
    <t>TARIFA DIARIA</t>
  </si>
  <si>
    <t>CESAR AUGUSTO TORO JIMENEZ</t>
  </si>
  <si>
    <t>JEAN VANNI</t>
  </si>
  <si>
    <t>TRIPULACION LANCHA ANABELLA</t>
  </si>
  <si>
    <t>TRIPULACION LANCHA BLOHM</t>
  </si>
  <si>
    <t>TRIPULACION LANCHA JACKIE</t>
  </si>
  <si>
    <t>FUENMAYOR BLANCO, GERARDO</t>
  </si>
  <si>
    <t>GRUPO VENOLS</t>
  </si>
  <si>
    <t>LISTA DE EMBARCACIONES CON SUS TRIPULACIONES</t>
  </si>
  <si>
    <t xml:space="preserve">TRIPULACION ZAPARA ISLAND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</si>
</sst>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9" fontId="3" fillId="0" borderId="0"/>
    <xf numFmtId="0" fontId="4" fillId="0" borderId="0"/>
    <xf numFmtId="0" fontId="1" fillId="0" borderId="0"/>
    <xf numFmtId="0" fontId="3" fillId="0" borderId="0"/>
    <xf numFmtId="49" fontId="3" fillId="0" borderId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3" fillId="0" borderId="0"/>
    <xf numFmtId="0" fontId="5" fillId="0" borderId="0"/>
    <xf numFmtId="0" fontId="3" fillId="0" borderId="0"/>
    <xf numFmtId="0" fontId="6" fillId="3" borderId="0" applyNumberFormat="0" applyBorder="0" applyAlignment="0" applyProtection="0"/>
    <xf numFmtId="0" fontId="7" fillId="0" borderId="1" applyNumberFormat="0" applyFill="0" applyAlignment="0" applyProtection="0"/>
    <xf numFmtId="0" fontId="1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49" fontId="3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2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2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8" fillId="0" borderId="0" xfId="0" applyFont="1"/>
    <xf numFmtId="49" fontId="12" fillId="2" borderId="0" xfId="9" applyFont="1" applyFill="1"/>
    <xf numFmtId="3" fontId="8" fillId="0" borderId="0" xfId="0" applyNumberFormat="1" applyFont="1" applyAlignment="1">
      <alignment horizontal="center"/>
    </xf>
    <xf numFmtId="0" fontId="14" fillId="0" borderId="0" xfId="0" applyFont="1"/>
    <xf numFmtId="49" fontId="12" fillId="0" borderId="11" xfId="9" applyFont="1" applyBorder="1" applyAlignment="1">
      <alignment horizontal="center" vertical="center"/>
    </xf>
    <xf numFmtId="15" fontId="11" fillId="2" borderId="12" xfId="9" applyNumberFormat="1" applyFont="1" applyFill="1" applyBorder="1" applyAlignment="1">
      <alignment horizontal="center" vertical="center"/>
    </xf>
    <xf numFmtId="49" fontId="11" fillId="2" borderId="12" xfId="9" applyFont="1" applyFill="1" applyBorder="1" applyAlignment="1">
      <alignment horizontal="center" vertical="center" wrapText="1"/>
    </xf>
    <xf numFmtId="0" fontId="13" fillId="5" borderId="13" xfId="6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2" borderId="10" xfId="28" applyFont="1" applyFill="1" applyBorder="1" applyAlignment="1">
      <alignment horizontal="left" vertical="center"/>
    </xf>
    <xf numFmtId="3" fontId="12" fillId="2" borderId="10" xfId="28" applyNumberFormat="1" applyFont="1" applyFill="1" applyBorder="1" applyAlignment="1">
      <alignment horizontal="center" vertical="center"/>
    </xf>
    <xf numFmtId="0" fontId="12" fillId="2" borderId="10" xfId="28" applyFont="1" applyFill="1" applyBorder="1" applyAlignment="1">
      <alignment horizontal="center" vertical="center"/>
    </xf>
    <xf numFmtId="0" fontId="15" fillId="2" borderId="0" xfId="0" applyFont="1" applyFill="1"/>
    <xf numFmtId="0" fontId="15" fillId="2" borderId="14" xfId="0" applyFont="1" applyFill="1" applyBorder="1" applyAlignment="1">
      <alignment horizontal="center"/>
    </xf>
    <xf numFmtId="2" fontId="15" fillId="2" borderId="15" xfId="3" applyNumberFormat="1" applyFont="1" applyFill="1" applyBorder="1" applyAlignment="1">
      <alignment horizontal="right" vertical="center" wrapText="1"/>
    </xf>
    <xf numFmtId="0" fontId="15" fillId="2" borderId="16" xfId="0" applyFont="1" applyFill="1" applyBorder="1" applyAlignment="1">
      <alignment horizontal="center"/>
    </xf>
    <xf numFmtId="0" fontId="12" fillId="2" borderId="6" xfId="28" applyFont="1" applyFill="1" applyBorder="1" applyAlignment="1">
      <alignment horizontal="left" vertical="center"/>
    </xf>
    <xf numFmtId="3" fontId="12" fillId="2" borderId="6" xfId="28" applyNumberFormat="1" applyFont="1" applyFill="1" applyBorder="1" applyAlignment="1">
      <alignment horizontal="center" vertical="center"/>
    </xf>
    <xf numFmtId="0" fontId="12" fillId="2" borderId="6" xfId="28" applyFont="1" applyFill="1" applyBorder="1" applyAlignment="1">
      <alignment horizontal="center" vertical="center"/>
    </xf>
    <xf numFmtId="2" fontId="15" fillId="2" borderId="17" xfId="3" applyNumberFormat="1" applyFont="1" applyFill="1" applyBorder="1" applyAlignment="1">
      <alignment horizontal="right" vertical="center" wrapText="1"/>
    </xf>
    <xf numFmtId="0" fontId="12" fillId="2" borderId="6" xfId="13" applyFont="1" applyFill="1" applyBorder="1" applyAlignment="1">
      <alignment horizontal="left" vertical="center"/>
    </xf>
    <xf numFmtId="3" fontId="12" fillId="2" borderId="6" xfId="13" applyNumberFormat="1" applyFont="1" applyFill="1" applyBorder="1" applyAlignment="1">
      <alignment horizontal="center" vertical="center"/>
    </xf>
    <xf numFmtId="0" fontId="12" fillId="2" borderId="6" xfId="30" applyFont="1" applyFill="1" applyBorder="1" applyAlignment="1">
      <alignment horizontal="left" vertical="center"/>
    </xf>
    <xf numFmtId="3" fontId="12" fillId="2" borderId="6" xfId="30" applyNumberFormat="1" applyFont="1" applyFill="1" applyBorder="1" applyAlignment="1">
      <alignment horizontal="center" vertical="center"/>
    </xf>
    <xf numFmtId="0" fontId="12" fillId="2" borderId="6" xfId="30" applyFont="1" applyFill="1" applyBorder="1" applyAlignment="1">
      <alignment horizontal="center" vertical="center"/>
    </xf>
    <xf numFmtId="2" fontId="15" fillId="2" borderId="17" xfId="0" applyNumberFormat="1" applyFont="1" applyFill="1" applyBorder="1" applyAlignment="1">
      <alignment horizontal="right" vertical="center"/>
    </xf>
    <xf numFmtId="0" fontId="15" fillId="2" borderId="18" xfId="0" applyFont="1" applyFill="1" applyBorder="1" applyAlignment="1">
      <alignment horizontal="center"/>
    </xf>
    <xf numFmtId="0" fontId="12" fillId="2" borderId="19" xfId="30" applyFont="1" applyFill="1" applyBorder="1" applyAlignment="1">
      <alignment horizontal="left" vertical="center"/>
    </xf>
    <xf numFmtId="3" fontId="12" fillId="2" borderId="19" xfId="30" applyNumberFormat="1" applyFont="1" applyFill="1" applyBorder="1" applyAlignment="1">
      <alignment horizontal="center" vertical="center"/>
    </xf>
    <xf numFmtId="0" fontId="12" fillId="2" borderId="19" xfId="30" applyFont="1" applyFill="1" applyBorder="1" applyAlignment="1">
      <alignment horizontal="center" vertical="center"/>
    </xf>
    <xf numFmtId="2" fontId="15" fillId="2" borderId="20" xfId="3" applyNumberFormat="1" applyFont="1" applyFill="1" applyBorder="1" applyAlignment="1">
      <alignment horizontal="right" vertical="center" wrapText="1"/>
    </xf>
    <xf numFmtId="0" fontId="12" fillId="0" borderId="10" xfId="0" applyFont="1" applyBorder="1" applyAlignment="1">
      <alignment horizontal="center" vertical="center"/>
    </xf>
    <xf numFmtId="0" fontId="12" fillId="2" borderId="10" xfId="0" applyFont="1" applyFill="1" applyBorder="1" applyAlignment="1">
      <alignment horizontal="left" vertical="center"/>
    </xf>
    <xf numFmtId="3" fontId="12" fillId="2" borderId="10" xfId="0" applyNumberFormat="1" applyFont="1" applyFill="1" applyBorder="1" applyAlignment="1">
      <alignment horizontal="center" vertical="center"/>
    </xf>
    <xf numFmtId="0" fontId="15" fillId="0" borderId="0" xfId="0" applyFont="1"/>
    <xf numFmtId="0" fontId="12" fillId="0" borderId="6" xfId="0" applyFont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/>
    </xf>
    <xf numFmtId="3" fontId="12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6" xfId="0" applyFont="1" applyBorder="1" applyAlignment="1">
      <alignment vertical="center"/>
    </xf>
    <xf numFmtId="49" fontId="12" fillId="0" borderId="10" xfId="9" applyFont="1" applyBorder="1" applyAlignment="1">
      <alignment horizontal="left" vertical="center"/>
    </xf>
    <xf numFmtId="3" fontId="12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64" fontId="15" fillId="6" borderId="15" xfId="3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164" fontId="15" fillId="6" borderId="17" xfId="3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left" vertical="center"/>
    </xf>
    <xf numFmtId="3" fontId="12" fillId="2" borderId="19" xfId="0" applyNumberFormat="1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/>
    </xf>
    <xf numFmtId="2" fontId="12" fillId="0" borderId="15" xfId="3" applyNumberFormat="1" applyFont="1" applyFill="1" applyBorder="1" applyAlignment="1">
      <alignment horizontal="right" vertical="center" wrapText="1"/>
    </xf>
    <xf numFmtId="0" fontId="15" fillId="0" borderId="16" xfId="0" applyFont="1" applyBorder="1" applyAlignment="1">
      <alignment horizontal="center"/>
    </xf>
    <xf numFmtId="3" fontId="12" fillId="0" borderId="6" xfId="0" applyNumberFormat="1" applyFont="1" applyBorder="1" applyAlignment="1">
      <alignment horizontal="left" vertical="center"/>
    </xf>
    <xf numFmtId="3" fontId="12" fillId="0" borderId="6" xfId="0" applyNumberFormat="1" applyFont="1" applyBorder="1" applyAlignment="1">
      <alignment horizontal="center" vertical="center"/>
    </xf>
    <xf numFmtId="2" fontId="12" fillId="0" borderId="17" xfId="3" applyNumberFormat="1" applyFont="1" applyFill="1" applyBorder="1" applyAlignment="1">
      <alignment horizontal="right" vertical="center" wrapText="1"/>
    </xf>
    <xf numFmtId="0" fontId="12" fillId="0" borderId="6" xfId="0" applyFont="1" applyBorder="1" applyAlignment="1">
      <alignment horizontal="left" vertical="center"/>
    </xf>
    <xf numFmtId="0" fontId="12" fillId="0" borderId="6" xfId="19" applyFont="1" applyBorder="1" applyAlignment="1">
      <alignment horizontal="left" vertical="center"/>
    </xf>
    <xf numFmtId="3" fontId="12" fillId="2" borderId="6" xfId="19" applyNumberFormat="1" applyFont="1" applyFill="1" applyBorder="1" applyAlignment="1">
      <alignment horizontal="center" vertical="center"/>
    </xf>
    <xf numFmtId="0" fontId="12" fillId="2" borderId="6" xfId="19" applyFont="1" applyFill="1" applyBorder="1" applyAlignment="1">
      <alignment horizontal="center" vertical="center" wrapText="1"/>
    </xf>
    <xf numFmtId="49" fontId="12" fillId="0" borderId="6" xfId="9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left" vertical="center"/>
    </xf>
    <xf numFmtId="2" fontId="12" fillId="0" borderId="20" xfId="3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right" vertical="center"/>
    </xf>
    <xf numFmtId="0" fontId="12" fillId="0" borderId="6" xfId="54" applyFont="1" applyBorder="1" applyAlignment="1">
      <alignment horizontal="left"/>
    </xf>
    <xf numFmtId="3" fontId="12" fillId="0" borderId="6" xfId="54" applyNumberFormat="1" applyFont="1" applyBorder="1" applyAlignment="1">
      <alignment horizontal="center"/>
    </xf>
    <xf numFmtId="0" fontId="12" fillId="0" borderId="6" xfId="20" applyFont="1" applyBorder="1" applyAlignment="1">
      <alignment horizontal="center" vertical="center"/>
    </xf>
    <xf numFmtId="0" fontId="15" fillId="0" borderId="6" xfId="0" applyFont="1" applyBorder="1"/>
    <xf numFmtId="3" fontId="15" fillId="0" borderId="6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2" fillId="0" borderId="6" xfId="20" applyFont="1" applyBorder="1" applyAlignment="1">
      <alignment horizontal="left" vertical="center"/>
    </xf>
    <xf numFmtId="3" fontId="12" fillId="0" borderId="6" xfId="20" applyNumberFormat="1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right" vertical="center"/>
    </xf>
    <xf numFmtId="2" fontId="15" fillId="0" borderId="20" xfId="0" applyNumberFormat="1" applyFont="1" applyBorder="1" applyAlignment="1">
      <alignment horizontal="right" vertical="center"/>
    </xf>
    <xf numFmtId="49" fontId="11" fillId="2" borderId="0" xfId="9" applyFont="1" applyFill="1" applyAlignment="1">
      <alignment horizontal="right" vertical="center"/>
    </xf>
    <xf numFmtId="49" fontId="12" fillId="2" borderId="0" xfId="9" applyFont="1" applyFill="1" applyAlignment="1">
      <alignment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164" fontId="15" fillId="2" borderId="15" xfId="3" applyFont="1" applyFill="1" applyBorder="1" applyAlignment="1">
      <alignment horizontal="center" vertical="center" wrapText="1"/>
    </xf>
    <xf numFmtId="49" fontId="12" fillId="2" borderId="0" xfId="9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64" fontId="15" fillId="2" borderId="17" xfId="3" applyFont="1" applyFill="1" applyBorder="1" applyAlignment="1">
      <alignment horizontal="center" vertical="center" wrapText="1"/>
    </xf>
    <xf numFmtId="3" fontId="12" fillId="2" borderId="6" xfId="56" applyNumberFormat="1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2" fontId="15" fillId="2" borderId="20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2" fillId="0" borderId="10" xfId="54" applyFont="1" applyBorder="1" applyAlignment="1">
      <alignment horizontal="left"/>
    </xf>
    <xf numFmtId="3" fontId="12" fillId="0" borderId="10" xfId="54" applyNumberFormat="1" applyFont="1" applyBorder="1" applyAlignment="1">
      <alignment horizontal="center"/>
    </xf>
    <xf numFmtId="0" fontId="12" fillId="0" borderId="10" xfId="2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2" fontId="15" fillId="0" borderId="15" xfId="66" applyNumberFormat="1" applyFont="1" applyBorder="1" applyAlignment="1">
      <alignment horizontal="right" vertical="center"/>
    </xf>
    <xf numFmtId="2" fontId="15" fillId="0" borderId="17" xfId="66" applyNumberFormat="1" applyFont="1" applyBorder="1" applyAlignment="1">
      <alignment horizontal="right" vertical="center"/>
    </xf>
    <xf numFmtId="0" fontId="15" fillId="0" borderId="19" xfId="0" applyFont="1" applyBorder="1"/>
    <xf numFmtId="3" fontId="15" fillId="0" borderId="19" xfId="0" applyNumberFormat="1" applyFont="1" applyBorder="1" applyAlignment="1">
      <alignment horizontal="center"/>
    </xf>
    <xf numFmtId="0" fontId="15" fillId="0" borderId="1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2" fillId="0" borderId="19" xfId="54" applyFont="1" applyBorder="1" applyAlignment="1">
      <alignment horizontal="left"/>
    </xf>
    <xf numFmtId="3" fontId="12" fillId="2" borderId="19" xfId="54" applyNumberFormat="1" applyFont="1" applyFill="1" applyBorder="1" applyAlignment="1">
      <alignment horizontal="center"/>
    </xf>
    <xf numFmtId="0" fontId="12" fillId="0" borderId="19" xfId="20" applyFont="1" applyBorder="1" applyAlignment="1">
      <alignment horizontal="center" vertical="center"/>
    </xf>
    <xf numFmtId="2" fontId="15" fillId="0" borderId="20" xfId="66" applyNumberFormat="1" applyFont="1" applyBorder="1" applyAlignment="1">
      <alignment horizontal="right" vertical="center"/>
    </xf>
    <xf numFmtId="0" fontId="15" fillId="0" borderId="10" xfId="0" applyFont="1" applyBorder="1"/>
    <xf numFmtId="3" fontId="15" fillId="0" borderId="10" xfId="0" applyNumberFormat="1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right" vertical="center"/>
    </xf>
    <xf numFmtId="0" fontId="12" fillId="0" borderId="19" xfId="20" applyFont="1" applyBorder="1" applyAlignment="1">
      <alignment horizontal="left" vertical="center"/>
    </xf>
    <xf numFmtId="3" fontId="12" fillId="2" borderId="19" xfId="20" applyNumberFormat="1" applyFont="1" applyFill="1" applyBorder="1" applyAlignment="1">
      <alignment horizontal="center" vertical="center"/>
    </xf>
    <xf numFmtId="0" fontId="12" fillId="2" borderId="19" xfId="2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  <xf numFmtId="49" fontId="11" fillId="4" borderId="9" xfId="9" applyFont="1" applyFill="1" applyBorder="1" applyAlignment="1">
      <alignment horizontal="center" vertical="center"/>
    </xf>
    <xf numFmtId="49" fontId="11" fillId="4" borderId="7" xfId="9" applyFont="1" applyFill="1" applyBorder="1" applyAlignment="1">
      <alignment horizontal="center" vertical="center"/>
    </xf>
    <xf numFmtId="49" fontId="11" fillId="4" borderId="8" xfId="9" applyFont="1" applyFill="1" applyBorder="1" applyAlignment="1">
      <alignment horizontal="center" vertical="center"/>
    </xf>
    <xf numFmtId="49" fontId="11" fillId="4" borderId="3" xfId="9" applyFont="1" applyFill="1" applyBorder="1" applyAlignment="1">
      <alignment horizontal="center" vertical="center"/>
    </xf>
    <xf numFmtId="49" fontId="11" fillId="4" borderId="4" xfId="9" applyFont="1" applyFill="1" applyBorder="1" applyAlignment="1">
      <alignment horizontal="center" vertical="center"/>
    </xf>
    <xf numFmtId="49" fontId="11" fillId="4" borderId="5" xfId="9" applyFont="1" applyFill="1" applyBorder="1" applyAlignment="1">
      <alignment horizontal="center" vertical="center"/>
    </xf>
  </cellXfs>
  <cellStyles count="84">
    <cellStyle name="Millares 2" xfId="2" xr:uid="{00000000-0005-0000-0000-000000000000}"/>
    <cellStyle name="Millares 3" xfId="3" xr:uid="{00000000-0005-0000-0000-000001000000}"/>
    <cellStyle name="Millares 3 2" xfId="75" xr:uid="{00000000-0005-0000-0000-000002000000}"/>
    <cellStyle name="Millares 4" xfId="4" xr:uid="{00000000-0005-0000-0000-000003000000}"/>
    <cellStyle name="Millares 4 2" xfId="21" xr:uid="{00000000-0005-0000-0000-000004000000}"/>
    <cellStyle name="Millares 4 2 2" xfId="10" xr:uid="{00000000-0005-0000-0000-000005000000}"/>
    <cellStyle name="Millares 4 2 2 2" xfId="27" xr:uid="{00000000-0005-0000-0000-000006000000}"/>
    <cellStyle name="Millares 4 2 2 2 2" xfId="32" xr:uid="{00000000-0005-0000-0000-000007000000}"/>
    <cellStyle name="Millares 4 2 2 2 2 2" xfId="43" xr:uid="{00000000-0005-0000-0000-000008000000}"/>
    <cellStyle name="Millares 4 2 2 2 2 2 2" xfId="45" xr:uid="{00000000-0005-0000-0000-000009000000}"/>
    <cellStyle name="Millares 4 2 2 2 2 2 3" xfId="50" xr:uid="{00000000-0005-0000-0000-00000A000000}"/>
    <cellStyle name="Millares 4 2 2 2 2 2 4" xfId="59" xr:uid="{00000000-0005-0000-0000-00000B000000}"/>
    <cellStyle name="Millares 4 2 2 2 3" xfId="37" xr:uid="{00000000-0005-0000-0000-00000C000000}"/>
    <cellStyle name="Millares 4 2 2 2 3 2" xfId="47" xr:uid="{00000000-0005-0000-0000-00000D000000}"/>
    <cellStyle name="Millares 4 2 2 2 3 3" xfId="53" xr:uid="{00000000-0005-0000-0000-00000E000000}"/>
    <cellStyle name="Millares 4 2 2 2 3 4" xfId="55" xr:uid="{00000000-0005-0000-0000-00000F000000}"/>
    <cellStyle name="Millares 4 2 2 3" xfId="77" xr:uid="{00000000-0005-0000-0000-000010000000}"/>
    <cellStyle name="Millares 4 2 2 4" xfId="82" xr:uid="{00000000-0005-0000-0000-000011000000}"/>
    <cellStyle name="Millares 4 3" xfId="26" xr:uid="{00000000-0005-0000-0000-000012000000}"/>
    <cellStyle name="Millares 4 3 2" xfId="35" xr:uid="{00000000-0005-0000-0000-000013000000}"/>
    <cellStyle name="Millares 4 3 2 2" xfId="44" xr:uid="{00000000-0005-0000-0000-000014000000}"/>
    <cellStyle name="Millares 4 3 2 2 2" xfId="46" xr:uid="{00000000-0005-0000-0000-000015000000}"/>
    <cellStyle name="Millares 4 3 2 2 3" xfId="51" xr:uid="{00000000-0005-0000-0000-000016000000}"/>
    <cellStyle name="Millares 4 3 2 2 4" xfId="60" xr:uid="{00000000-0005-0000-0000-000017000000}"/>
    <cellStyle name="Millares 4 3 3" xfId="36" xr:uid="{00000000-0005-0000-0000-000018000000}"/>
    <cellStyle name="Millares 4 3 3 2" xfId="52" xr:uid="{00000000-0005-0000-0000-000019000000}"/>
    <cellStyle name="Millares 4 3 3 3" xfId="58" xr:uid="{00000000-0005-0000-0000-00001A000000}"/>
    <cellStyle name="Millares 4 4" xfId="41" xr:uid="{00000000-0005-0000-0000-00001B000000}"/>
    <cellStyle name="Millares 4 5" xfId="76" xr:uid="{00000000-0005-0000-0000-00001C000000}"/>
    <cellStyle name="Millares 4 6" xfId="81" xr:uid="{00000000-0005-0000-0000-00001D000000}"/>
    <cellStyle name="Millares 5" xfId="74" xr:uid="{00000000-0005-0000-0000-00001E000000}"/>
    <cellStyle name="Millares 6" xfId="80" xr:uid="{00000000-0005-0000-0000-00001F000000}"/>
    <cellStyle name="Neutral 2" xfId="16" xr:uid="{00000000-0005-0000-0000-000020000000}"/>
    <cellStyle name="Normal" xfId="0" builtinId="0"/>
    <cellStyle name="Normal 10" xfId="11" xr:uid="{00000000-0005-0000-0000-000022000000}"/>
    <cellStyle name="Normal 10 2" xfId="13" xr:uid="{00000000-0005-0000-0000-000023000000}"/>
    <cellStyle name="Normal 11" xfId="42" xr:uid="{00000000-0005-0000-0000-000024000000}"/>
    <cellStyle name="Normal 12" xfId="12" xr:uid="{00000000-0005-0000-0000-000025000000}"/>
    <cellStyle name="Normal 13" xfId="65" xr:uid="{00000000-0005-0000-0000-000026000000}"/>
    <cellStyle name="Normal 13 2" xfId="66" xr:uid="{00000000-0005-0000-0000-000027000000}"/>
    <cellStyle name="Normal 13 4" xfId="71" xr:uid="{00000000-0005-0000-0000-000028000000}"/>
    <cellStyle name="Normal 14" xfId="72" xr:uid="{00000000-0005-0000-0000-000029000000}"/>
    <cellStyle name="Normal 15" xfId="73" xr:uid="{00000000-0005-0000-0000-00002A000000}"/>
    <cellStyle name="Normal 2" xfId="5" xr:uid="{00000000-0005-0000-0000-00002B000000}"/>
    <cellStyle name="Normal 2 2" xfId="6" xr:uid="{00000000-0005-0000-0000-00002C000000}"/>
    <cellStyle name="Normal 2 3" xfId="20" xr:uid="{00000000-0005-0000-0000-00002D000000}"/>
    <cellStyle name="Normal 2 4" xfId="23" xr:uid="{00000000-0005-0000-0000-00002E000000}"/>
    <cellStyle name="Normal 3" xfId="14" xr:uid="{00000000-0005-0000-0000-00002F000000}"/>
    <cellStyle name="Normal 3 2" xfId="54" xr:uid="{00000000-0005-0000-0000-000030000000}"/>
    <cellStyle name="Normal 3 3" xfId="15" xr:uid="{00000000-0005-0000-0000-000031000000}"/>
    <cellStyle name="Normal 3 4" xfId="62" xr:uid="{00000000-0005-0000-0000-000032000000}"/>
    <cellStyle name="Normal 4" xfId="1" xr:uid="{00000000-0005-0000-0000-000033000000}"/>
    <cellStyle name="Normal 4 2" xfId="30" xr:uid="{00000000-0005-0000-0000-000034000000}"/>
    <cellStyle name="Normal 4 2 2" xfId="34" xr:uid="{00000000-0005-0000-0000-000035000000}"/>
    <cellStyle name="Normal 4 2 3" xfId="40" xr:uid="{00000000-0005-0000-0000-000036000000}"/>
    <cellStyle name="Normal 4 2 3 2" xfId="49" xr:uid="{00000000-0005-0000-0000-000037000000}"/>
    <cellStyle name="Normal 4 2 3 3" xfId="70" xr:uid="{00000000-0005-0000-0000-000038000000}"/>
    <cellStyle name="Normal 4 2 3 3 3" xfId="19" xr:uid="{00000000-0005-0000-0000-000039000000}"/>
    <cellStyle name="Normal 4 3" xfId="57" xr:uid="{00000000-0005-0000-0000-00003A000000}"/>
    <cellStyle name="Normal 4 4" xfId="18" xr:uid="{00000000-0005-0000-0000-00003B000000}"/>
    <cellStyle name="Normal 4 5" xfId="79" xr:uid="{00000000-0005-0000-0000-00003C000000}"/>
    <cellStyle name="Normal 5" xfId="7" xr:uid="{00000000-0005-0000-0000-00003D000000}"/>
    <cellStyle name="Normal 5 2" xfId="22" xr:uid="{00000000-0005-0000-0000-00003E000000}"/>
    <cellStyle name="Normal 5 2 2" xfId="25" xr:uid="{00000000-0005-0000-0000-00003F000000}"/>
    <cellStyle name="Normal 6" xfId="8" xr:uid="{00000000-0005-0000-0000-000040000000}"/>
    <cellStyle name="Normal 6 2" xfId="24" xr:uid="{00000000-0005-0000-0000-000041000000}"/>
    <cellStyle name="Normal 7" xfId="28" xr:uid="{00000000-0005-0000-0000-000042000000}"/>
    <cellStyle name="Normal 7 2" xfId="78" xr:uid="{00000000-0005-0000-0000-000043000000}"/>
    <cellStyle name="Normal 7 3" xfId="83" xr:uid="{00000000-0005-0000-0000-000044000000}"/>
    <cellStyle name="Normal 8" xfId="29" xr:uid="{00000000-0005-0000-0000-000045000000}"/>
    <cellStyle name="Normal 8 2" xfId="33" xr:uid="{00000000-0005-0000-0000-000046000000}"/>
    <cellStyle name="Normal 8 3" xfId="39" xr:uid="{00000000-0005-0000-0000-000047000000}"/>
    <cellStyle name="Normal 8 3 2" xfId="48" xr:uid="{00000000-0005-0000-0000-000048000000}"/>
    <cellStyle name="Normal 8 3 3" xfId="56" xr:uid="{00000000-0005-0000-0000-000049000000}"/>
    <cellStyle name="Normal 8 3 3 3" xfId="64" xr:uid="{00000000-0005-0000-0000-00004A000000}"/>
    <cellStyle name="Normal 8 3 4" xfId="69" xr:uid="{00000000-0005-0000-0000-00004B000000}"/>
    <cellStyle name="Normal 9" xfId="31" xr:uid="{00000000-0005-0000-0000-00004C000000}"/>
    <cellStyle name="Normal 9 2" xfId="38" xr:uid="{00000000-0005-0000-0000-00004D000000}"/>
    <cellStyle name="Normal 9 2 2" xfId="61" xr:uid="{00000000-0005-0000-0000-00004E000000}"/>
    <cellStyle name="Normal 9 2 3" xfId="63" xr:uid="{00000000-0005-0000-0000-00004F000000}"/>
    <cellStyle name="Normal 9 2 3 2" xfId="67" xr:uid="{00000000-0005-0000-0000-000050000000}"/>
    <cellStyle name="Normal_PASIVOS Y OTROS BENEFICIOS ACUMULADOS OOS - 2006 2 2" xfId="9" xr:uid="{00000000-0005-0000-0000-000051000000}"/>
    <cellStyle name="Total 2" xfId="17" xr:uid="{00000000-0005-0000-0000-000052000000}"/>
    <cellStyle name="Total 2 2" xfId="68" xr:uid="{00000000-0005-0000-0000-000053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"/>
  <sheetViews>
    <sheetView tabSelected="1" topLeftCell="A46" zoomScale="83" zoomScaleNormal="83" workbookViewId="0">
      <selection activeCell="E66" sqref="E66"/>
    </sheetView>
  </sheetViews>
  <sheetFormatPr baseColWidth="10" defaultRowHeight="14.5" x14ac:dyDescent="0.35"/>
  <cols>
    <col min="1" max="1" width="5.08984375" customWidth="1"/>
    <col min="2" max="2" width="6.54296875" style="1" customWidth="1"/>
    <col min="3" max="3" width="46.6328125" customWidth="1"/>
    <col min="4" max="4" width="16.54296875" style="2" customWidth="1"/>
    <col min="5" max="5" width="29.08984375" style="43" customWidth="1"/>
    <col min="6" max="6" width="13.54296875" style="3" customWidth="1"/>
  </cols>
  <sheetData>
    <row r="1" spans="2:6" ht="20" customHeight="1" x14ac:dyDescent="0.4">
      <c r="B1" s="119" t="s">
        <v>96</v>
      </c>
    </row>
    <row r="2" spans="2:6" ht="18.5" thickBot="1" x14ac:dyDescent="0.45">
      <c r="B2" s="119" t="s">
        <v>97</v>
      </c>
    </row>
    <row r="3" spans="2:6" s="13" customFormat="1" ht="26" customHeight="1" thickBot="1" x14ac:dyDescent="0.4">
      <c r="B3" s="123" t="s">
        <v>79</v>
      </c>
      <c r="C3" s="124"/>
      <c r="D3" s="124"/>
      <c r="E3" s="124"/>
      <c r="F3" s="125"/>
    </row>
    <row r="4" spans="2:6" s="13" customFormat="1" ht="28.5" customHeight="1" thickBot="1" x14ac:dyDescent="0.4">
      <c r="B4" s="9"/>
      <c r="C4" s="10" t="s">
        <v>63</v>
      </c>
      <c r="D4" s="10" t="s">
        <v>80</v>
      </c>
      <c r="E4" s="11" t="s">
        <v>64</v>
      </c>
      <c r="F4" s="12" t="s">
        <v>89</v>
      </c>
    </row>
    <row r="5" spans="2:6" s="39" customFormat="1" ht="18" customHeight="1" x14ac:dyDescent="0.35">
      <c r="B5" s="56">
        <v>1</v>
      </c>
      <c r="C5" s="47" t="s">
        <v>39</v>
      </c>
      <c r="D5" s="48">
        <v>7524582</v>
      </c>
      <c r="E5" s="36" t="s">
        <v>0</v>
      </c>
      <c r="F5" s="57">
        <f>+F14</f>
        <v>70</v>
      </c>
    </row>
    <row r="6" spans="2:6" s="39" customFormat="1" ht="18" customHeight="1" x14ac:dyDescent="0.35">
      <c r="B6" s="58">
        <v>2</v>
      </c>
      <c r="C6" s="59" t="s">
        <v>12</v>
      </c>
      <c r="D6" s="60">
        <v>5585408</v>
      </c>
      <c r="E6" s="40" t="s">
        <v>13</v>
      </c>
      <c r="F6" s="61">
        <v>58</v>
      </c>
    </row>
    <row r="7" spans="2:6" s="39" customFormat="1" ht="18" customHeight="1" x14ac:dyDescent="0.35">
      <c r="B7" s="58">
        <v>3</v>
      </c>
      <c r="C7" s="62" t="s">
        <v>30</v>
      </c>
      <c r="D7" s="42">
        <v>5048288</v>
      </c>
      <c r="E7" s="40" t="s">
        <v>31</v>
      </c>
      <c r="F7" s="61">
        <v>60</v>
      </c>
    </row>
    <row r="8" spans="2:6" s="39" customFormat="1" ht="18" customHeight="1" x14ac:dyDescent="0.35">
      <c r="B8" s="58">
        <v>4</v>
      </c>
      <c r="C8" s="63" t="s">
        <v>32</v>
      </c>
      <c r="D8" s="64">
        <v>9738085</v>
      </c>
      <c r="E8" s="65" t="s">
        <v>19</v>
      </c>
      <c r="F8" s="61">
        <v>56</v>
      </c>
    </row>
    <row r="9" spans="2:6" s="39" customFormat="1" ht="18" customHeight="1" x14ac:dyDescent="0.35">
      <c r="B9" s="58">
        <v>5</v>
      </c>
      <c r="C9" s="62" t="s">
        <v>33</v>
      </c>
      <c r="D9" s="42">
        <v>17415425</v>
      </c>
      <c r="E9" s="40" t="s">
        <v>21</v>
      </c>
      <c r="F9" s="61">
        <v>56</v>
      </c>
    </row>
    <row r="10" spans="2:6" s="39" customFormat="1" ht="18" customHeight="1" x14ac:dyDescent="0.35">
      <c r="B10" s="58">
        <v>6</v>
      </c>
      <c r="C10" s="66" t="s">
        <v>40</v>
      </c>
      <c r="D10" s="60">
        <v>13130750</v>
      </c>
      <c r="E10" s="40" t="s">
        <v>25</v>
      </c>
      <c r="F10" s="61">
        <f>+F22</f>
        <v>50</v>
      </c>
    </row>
    <row r="11" spans="2:6" s="39" customFormat="1" ht="18" customHeight="1" x14ac:dyDescent="0.35">
      <c r="B11" s="58">
        <v>7</v>
      </c>
      <c r="C11" s="62" t="s">
        <v>34</v>
      </c>
      <c r="D11" s="42">
        <v>18318546</v>
      </c>
      <c r="E11" s="40" t="s">
        <v>4</v>
      </c>
      <c r="F11" s="61">
        <v>53</v>
      </c>
    </row>
    <row r="12" spans="2:6" s="39" customFormat="1" ht="18" customHeight="1" x14ac:dyDescent="0.35">
      <c r="B12" s="58">
        <v>8</v>
      </c>
      <c r="C12" s="46" t="s">
        <v>35</v>
      </c>
      <c r="D12" s="60">
        <v>7615164</v>
      </c>
      <c r="E12" s="67" t="s">
        <v>6</v>
      </c>
      <c r="F12" s="61">
        <v>50</v>
      </c>
    </row>
    <row r="13" spans="2:6" s="39" customFormat="1" ht="18" customHeight="1" x14ac:dyDescent="0.35">
      <c r="B13" s="58">
        <v>9</v>
      </c>
      <c r="C13" s="62" t="s">
        <v>37</v>
      </c>
      <c r="D13" s="42">
        <v>14305390</v>
      </c>
      <c r="E13" s="40" t="s">
        <v>38</v>
      </c>
      <c r="F13" s="61">
        <v>50</v>
      </c>
    </row>
    <row r="14" spans="2:6" s="39" customFormat="1" ht="18" customHeight="1" x14ac:dyDescent="0.35">
      <c r="B14" s="58">
        <v>10</v>
      </c>
      <c r="C14" s="62" t="s">
        <v>11</v>
      </c>
      <c r="D14" s="42">
        <v>11142000</v>
      </c>
      <c r="E14" s="40" t="s">
        <v>0</v>
      </c>
      <c r="F14" s="61">
        <v>70</v>
      </c>
    </row>
    <row r="15" spans="2:6" s="39" customFormat="1" ht="18" customHeight="1" x14ac:dyDescent="0.35">
      <c r="B15" s="58">
        <v>11</v>
      </c>
      <c r="C15" s="62" t="s">
        <v>36</v>
      </c>
      <c r="D15" s="42">
        <v>25402411</v>
      </c>
      <c r="E15" s="40" t="s">
        <v>13</v>
      </c>
      <c r="F15" s="61">
        <v>58</v>
      </c>
    </row>
    <row r="16" spans="2:6" s="39" customFormat="1" ht="18" customHeight="1" x14ac:dyDescent="0.35">
      <c r="B16" s="58">
        <v>12</v>
      </c>
      <c r="C16" s="62" t="s">
        <v>14</v>
      </c>
      <c r="D16" s="42">
        <v>23770889</v>
      </c>
      <c r="E16" s="40" t="s">
        <v>15</v>
      </c>
      <c r="F16" s="61">
        <v>43.333333333333336</v>
      </c>
    </row>
    <row r="17" spans="1:7" s="39" customFormat="1" ht="18" customHeight="1" x14ac:dyDescent="0.35">
      <c r="B17" s="58">
        <v>13</v>
      </c>
      <c r="C17" s="62" t="s">
        <v>16</v>
      </c>
      <c r="D17" s="42">
        <v>14135749</v>
      </c>
      <c r="E17" s="40" t="s">
        <v>17</v>
      </c>
      <c r="F17" s="61">
        <v>60</v>
      </c>
    </row>
    <row r="18" spans="1:7" s="39" customFormat="1" ht="18" customHeight="1" x14ac:dyDescent="0.35">
      <c r="B18" s="58">
        <v>14</v>
      </c>
      <c r="C18" s="62" t="s">
        <v>18</v>
      </c>
      <c r="D18" s="42">
        <v>9807092</v>
      </c>
      <c r="E18" s="40" t="s">
        <v>19</v>
      </c>
      <c r="F18" s="61">
        <v>56</v>
      </c>
    </row>
    <row r="19" spans="1:7" s="39" customFormat="1" ht="18" customHeight="1" x14ac:dyDescent="0.35">
      <c r="B19" s="58">
        <v>15</v>
      </c>
      <c r="C19" s="62" t="s">
        <v>20</v>
      </c>
      <c r="D19" s="42">
        <v>19215856</v>
      </c>
      <c r="E19" s="40" t="s">
        <v>21</v>
      </c>
      <c r="F19" s="61">
        <v>50</v>
      </c>
    </row>
    <row r="20" spans="1:7" s="39" customFormat="1" ht="18" customHeight="1" x14ac:dyDescent="0.35">
      <c r="B20" s="58">
        <v>16</v>
      </c>
      <c r="C20" s="62" t="s">
        <v>28</v>
      </c>
      <c r="D20" s="42">
        <v>13460890</v>
      </c>
      <c r="E20" s="40" t="s">
        <v>29</v>
      </c>
      <c r="F20" s="61">
        <v>50</v>
      </c>
    </row>
    <row r="21" spans="1:7" s="39" customFormat="1" ht="18" customHeight="1" x14ac:dyDescent="0.35">
      <c r="B21" s="58">
        <v>17</v>
      </c>
      <c r="C21" s="62" t="s">
        <v>22</v>
      </c>
      <c r="D21" s="42">
        <v>7975410</v>
      </c>
      <c r="E21" s="40" t="s">
        <v>23</v>
      </c>
      <c r="F21" s="61">
        <v>53</v>
      </c>
    </row>
    <row r="22" spans="1:7" s="39" customFormat="1" ht="18" customHeight="1" x14ac:dyDescent="0.35">
      <c r="B22" s="58">
        <v>18</v>
      </c>
      <c r="C22" s="62" t="s">
        <v>24</v>
      </c>
      <c r="D22" s="42">
        <v>18650705</v>
      </c>
      <c r="E22" s="40" t="s">
        <v>25</v>
      </c>
      <c r="F22" s="61">
        <v>50</v>
      </c>
    </row>
    <row r="23" spans="1:7" s="39" customFormat="1" ht="18" customHeight="1" thickBot="1" x14ac:dyDescent="0.4">
      <c r="B23" s="68">
        <v>19</v>
      </c>
      <c r="C23" s="69" t="s">
        <v>26</v>
      </c>
      <c r="D23" s="54">
        <v>9415798</v>
      </c>
      <c r="E23" s="55" t="s">
        <v>27</v>
      </c>
      <c r="F23" s="70">
        <v>50</v>
      </c>
    </row>
    <row r="25" spans="1:7" ht="15" thickBot="1" x14ac:dyDescent="0.4"/>
    <row r="26" spans="1:7" s="86" customFormat="1" ht="27" customHeight="1" thickBot="1" x14ac:dyDescent="0.4">
      <c r="A26" s="85" t="s">
        <v>61</v>
      </c>
      <c r="B26" s="123" t="s">
        <v>81</v>
      </c>
      <c r="C26" s="124"/>
      <c r="D26" s="124"/>
      <c r="E26" s="124"/>
      <c r="F26" s="125"/>
    </row>
    <row r="27" spans="1:7" s="39" customFormat="1" ht="30" customHeight="1" thickBot="1" x14ac:dyDescent="0.4">
      <c r="B27" s="9"/>
      <c r="C27" s="10" t="s">
        <v>63</v>
      </c>
      <c r="D27" s="10" t="s">
        <v>80</v>
      </c>
      <c r="E27" s="11" t="s">
        <v>64</v>
      </c>
      <c r="F27" s="12" t="s">
        <v>89</v>
      </c>
    </row>
    <row r="28" spans="1:7" s="6" customFormat="1" ht="18" customHeight="1" x14ac:dyDescent="0.35">
      <c r="B28" s="87">
        <v>1</v>
      </c>
      <c r="C28" s="37" t="s">
        <v>41</v>
      </c>
      <c r="D28" s="38">
        <v>7716172</v>
      </c>
      <c r="E28" s="88" t="s">
        <v>0</v>
      </c>
      <c r="F28" s="89">
        <v>62</v>
      </c>
      <c r="G28" s="90"/>
    </row>
    <row r="29" spans="1:7" s="6" customFormat="1" ht="18" customHeight="1" x14ac:dyDescent="0.35">
      <c r="B29" s="91">
        <f>1+B28</f>
        <v>2</v>
      </c>
      <c r="C29" s="41" t="s">
        <v>42</v>
      </c>
      <c r="D29" s="42">
        <v>12802509</v>
      </c>
      <c r="E29" s="92" t="s">
        <v>65</v>
      </c>
      <c r="F29" s="93">
        <v>62</v>
      </c>
      <c r="G29" s="90"/>
    </row>
    <row r="30" spans="1:7" s="6" customFormat="1" ht="18" customHeight="1" x14ac:dyDescent="0.35">
      <c r="B30" s="91">
        <f t="shared" ref="B30:B41" si="0">1+B29</f>
        <v>3</v>
      </c>
      <c r="C30" s="25" t="s">
        <v>43</v>
      </c>
      <c r="D30" s="26">
        <v>14448951</v>
      </c>
      <c r="E30" s="92" t="s">
        <v>31</v>
      </c>
      <c r="F30" s="93">
        <v>60</v>
      </c>
      <c r="G30" s="90"/>
    </row>
    <row r="31" spans="1:7" s="6" customFormat="1" ht="18" customHeight="1" x14ac:dyDescent="0.35">
      <c r="B31" s="91">
        <f t="shared" si="0"/>
        <v>4</v>
      </c>
      <c r="C31" s="25" t="s">
        <v>44</v>
      </c>
      <c r="D31" s="26">
        <v>17326602</v>
      </c>
      <c r="E31" s="92" t="s">
        <v>21</v>
      </c>
      <c r="F31" s="93">
        <v>56</v>
      </c>
      <c r="G31" s="90"/>
    </row>
    <row r="32" spans="1:7" s="6" customFormat="1" ht="18" customHeight="1" x14ac:dyDescent="0.35">
      <c r="B32" s="91">
        <f t="shared" si="0"/>
        <v>5</v>
      </c>
      <c r="C32" s="41" t="s">
        <v>82</v>
      </c>
      <c r="D32" s="42">
        <v>19016499</v>
      </c>
      <c r="E32" s="92" t="s">
        <v>4</v>
      </c>
      <c r="F32" s="93">
        <v>53</v>
      </c>
    </row>
    <row r="33" spans="2:11" s="6" customFormat="1" ht="18" customHeight="1" x14ac:dyDescent="0.35">
      <c r="B33" s="91">
        <f t="shared" si="0"/>
        <v>6</v>
      </c>
      <c r="C33" s="25" t="s">
        <v>45</v>
      </c>
      <c r="D33" s="26">
        <v>19936170</v>
      </c>
      <c r="E33" s="92" t="s">
        <v>6</v>
      </c>
      <c r="F33" s="93">
        <v>50</v>
      </c>
    </row>
    <row r="34" spans="2:11" s="6" customFormat="1" ht="18" customHeight="1" x14ac:dyDescent="0.35">
      <c r="B34" s="91">
        <f t="shared" si="0"/>
        <v>7</v>
      </c>
      <c r="C34" s="41" t="s">
        <v>46</v>
      </c>
      <c r="D34" s="42">
        <v>10604405</v>
      </c>
      <c r="E34" s="92" t="s">
        <v>6</v>
      </c>
      <c r="F34" s="93">
        <v>50</v>
      </c>
    </row>
    <row r="35" spans="2:11" s="17" customFormat="1" ht="18" customHeight="1" x14ac:dyDescent="0.35">
      <c r="B35" s="91">
        <f t="shared" si="0"/>
        <v>8</v>
      </c>
      <c r="C35" s="41" t="s">
        <v>83</v>
      </c>
      <c r="D35" s="42">
        <v>8604988</v>
      </c>
      <c r="E35" s="92" t="s">
        <v>0</v>
      </c>
      <c r="F35" s="30">
        <v>62</v>
      </c>
      <c r="K35" s="6"/>
    </row>
    <row r="36" spans="2:11" s="17" customFormat="1" ht="18" customHeight="1" x14ac:dyDescent="0.35">
      <c r="B36" s="91">
        <f t="shared" si="0"/>
        <v>9</v>
      </c>
      <c r="C36" s="41" t="s">
        <v>84</v>
      </c>
      <c r="D36" s="42">
        <v>20084632</v>
      </c>
      <c r="E36" s="92" t="s">
        <v>65</v>
      </c>
      <c r="F36" s="30">
        <v>58</v>
      </c>
    </row>
    <row r="37" spans="2:11" s="17" customFormat="1" ht="18" customHeight="1" x14ac:dyDescent="0.35">
      <c r="B37" s="91">
        <f t="shared" si="0"/>
        <v>10</v>
      </c>
      <c r="C37" s="25" t="s">
        <v>66</v>
      </c>
      <c r="D37" s="26" t="s">
        <v>85</v>
      </c>
      <c r="E37" s="92" t="s">
        <v>31</v>
      </c>
      <c r="F37" s="30">
        <v>60</v>
      </c>
    </row>
    <row r="38" spans="2:11" s="6" customFormat="1" ht="18" customHeight="1" x14ac:dyDescent="0.35">
      <c r="B38" s="91">
        <f t="shared" si="0"/>
        <v>11</v>
      </c>
      <c r="C38" s="25" t="s">
        <v>90</v>
      </c>
      <c r="D38" s="26">
        <v>16534779</v>
      </c>
      <c r="E38" s="92" t="s">
        <v>21</v>
      </c>
      <c r="F38" s="93">
        <v>56</v>
      </c>
      <c r="G38" s="90"/>
    </row>
    <row r="39" spans="2:11" s="17" customFormat="1" ht="18" customHeight="1" x14ac:dyDescent="0.35">
      <c r="B39" s="91">
        <f t="shared" si="0"/>
        <v>12</v>
      </c>
      <c r="C39" s="41" t="s">
        <v>47</v>
      </c>
      <c r="D39" s="94" t="s">
        <v>86</v>
      </c>
      <c r="E39" s="92" t="s">
        <v>4</v>
      </c>
      <c r="F39" s="30">
        <v>53</v>
      </c>
    </row>
    <row r="40" spans="2:11" s="17" customFormat="1" ht="18" customHeight="1" x14ac:dyDescent="0.35">
      <c r="B40" s="91">
        <f t="shared" si="0"/>
        <v>13</v>
      </c>
      <c r="C40" s="25" t="s">
        <v>62</v>
      </c>
      <c r="D40" s="26" t="s">
        <v>87</v>
      </c>
      <c r="E40" s="92" t="s">
        <v>67</v>
      </c>
      <c r="F40" s="30">
        <v>53</v>
      </c>
    </row>
    <row r="41" spans="2:11" s="17" customFormat="1" ht="18" customHeight="1" thickBot="1" x14ac:dyDescent="0.4">
      <c r="B41" s="91">
        <f t="shared" si="0"/>
        <v>14</v>
      </c>
      <c r="C41" s="53" t="s">
        <v>68</v>
      </c>
      <c r="D41" s="54" t="s">
        <v>88</v>
      </c>
      <c r="E41" s="95" t="s">
        <v>6</v>
      </c>
      <c r="F41" s="96">
        <v>50</v>
      </c>
    </row>
    <row r="42" spans="2:11" s="39" customFormat="1" ht="16" customHeight="1" x14ac:dyDescent="0.35">
      <c r="B42" s="71"/>
      <c r="D42" s="71"/>
      <c r="E42" s="72"/>
      <c r="F42" s="73"/>
    </row>
    <row r="43" spans="2:11" ht="20" customHeight="1" thickBot="1" x14ac:dyDescent="0.4"/>
    <row r="44" spans="2:11" s="13" customFormat="1" ht="27.5" customHeight="1" thickBot="1" x14ac:dyDescent="0.4">
      <c r="B44" s="123" t="s">
        <v>76</v>
      </c>
      <c r="C44" s="124"/>
      <c r="D44" s="124"/>
      <c r="E44" s="124"/>
      <c r="F44" s="125"/>
    </row>
    <row r="45" spans="2:11" ht="31.5" thickBot="1" x14ac:dyDescent="0.4">
      <c r="B45" s="9"/>
      <c r="C45" s="10" t="s">
        <v>63</v>
      </c>
      <c r="D45" s="10" t="s">
        <v>80</v>
      </c>
      <c r="E45" s="11" t="s">
        <v>64</v>
      </c>
      <c r="F45" s="12" t="s">
        <v>89</v>
      </c>
    </row>
    <row r="46" spans="2:11" s="17" customFormat="1" ht="18" customHeight="1" x14ac:dyDescent="0.35">
      <c r="B46" s="18">
        <v>1</v>
      </c>
      <c r="C46" s="14" t="s">
        <v>8</v>
      </c>
      <c r="D46" s="15">
        <v>12327162</v>
      </c>
      <c r="E46" s="16" t="s">
        <v>0</v>
      </c>
      <c r="F46" s="19">
        <v>62</v>
      </c>
    </row>
    <row r="47" spans="2:11" s="17" customFormat="1" ht="18" customHeight="1" x14ac:dyDescent="0.35">
      <c r="B47" s="20">
        <v>2</v>
      </c>
      <c r="C47" s="21" t="s">
        <v>58</v>
      </c>
      <c r="D47" s="22">
        <v>7629801</v>
      </c>
      <c r="E47" s="23" t="s">
        <v>1</v>
      </c>
      <c r="F47" s="24">
        <v>56</v>
      </c>
    </row>
    <row r="48" spans="2:11" s="17" customFormat="1" ht="18" customHeight="1" x14ac:dyDescent="0.35">
      <c r="B48" s="20">
        <v>3</v>
      </c>
      <c r="C48" s="25" t="s">
        <v>9</v>
      </c>
      <c r="D48" s="26">
        <v>9761303</v>
      </c>
      <c r="E48" s="23" t="s">
        <v>4</v>
      </c>
      <c r="F48" s="24">
        <v>50</v>
      </c>
    </row>
    <row r="49" spans="2:6" s="17" customFormat="1" ht="18" customHeight="1" x14ac:dyDescent="0.35">
      <c r="B49" s="20">
        <v>4</v>
      </c>
      <c r="C49" s="21" t="s">
        <v>10</v>
      </c>
      <c r="D49" s="22">
        <v>14682807</v>
      </c>
      <c r="E49" s="23" t="s">
        <v>6</v>
      </c>
      <c r="F49" s="24">
        <v>50</v>
      </c>
    </row>
    <row r="50" spans="2:6" s="17" customFormat="1" ht="18" customHeight="1" x14ac:dyDescent="0.35">
      <c r="B50" s="20">
        <v>5</v>
      </c>
      <c r="C50" s="21" t="s">
        <v>77</v>
      </c>
      <c r="D50" s="22">
        <v>14116676</v>
      </c>
      <c r="E50" s="23" t="s">
        <v>6</v>
      </c>
      <c r="F50" s="24">
        <v>50</v>
      </c>
    </row>
    <row r="51" spans="2:6" s="17" customFormat="1" ht="18" customHeight="1" x14ac:dyDescent="0.35">
      <c r="B51" s="20">
        <v>6</v>
      </c>
      <c r="C51" s="27" t="s">
        <v>2</v>
      </c>
      <c r="D51" s="28">
        <v>10604661</v>
      </c>
      <c r="E51" s="29" t="s">
        <v>0</v>
      </c>
      <c r="F51" s="24">
        <v>62</v>
      </c>
    </row>
    <row r="52" spans="2:6" s="17" customFormat="1" ht="18" customHeight="1" x14ac:dyDescent="0.35">
      <c r="B52" s="20">
        <v>7</v>
      </c>
      <c r="C52" s="25" t="s">
        <v>60</v>
      </c>
      <c r="D52" s="26">
        <v>14525231</v>
      </c>
      <c r="E52" s="44" t="s">
        <v>1</v>
      </c>
      <c r="F52" s="30">
        <v>56</v>
      </c>
    </row>
    <row r="53" spans="2:6" s="17" customFormat="1" ht="18" customHeight="1" x14ac:dyDescent="0.35">
      <c r="B53" s="20">
        <v>8</v>
      </c>
      <c r="C53" s="25" t="s">
        <v>3</v>
      </c>
      <c r="D53" s="26">
        <v>14085188</v>
      </c>
      <c r="E53" s="29" t="s">
        <v>4</v>
      </c>
      <c r="F53" s="24">
        <v>50</v>
      </c>
    </row>
    <row r="54" spans="2:6" s="17" customFormat="1" ht="18" customHeight="1" x14ac:dyDescent="0.35">
      <c r="B54" s="20">
        <v>9</v>
      </c>
      <c r="C54" s="27" t="s">
        <v>5</v>
      </c>
      <c r="D54" s="28">
        <v>18183761</v>
      </c>
      <c r="E54" s="29" t="s">
        <v>6</v>
      </c>
      <c r="F54" s="24">
        <v>50</v>
      </c>
    </row>
    <row r="55" spans="2:6" s="17" customFormat="1" ht="18" customHeight="1" thickBot="1" x14ac:dyDescent="0.4">
      <c r="B55" s="31">
        <v>10</v>
      </c>
      <c r="C55" s="32" t="s">
        <v>7</v>
      </c>
      <c r="D55" s="33">
        <v>23446592</v>
      </c>
      <c r="E55" s="34" t="s">
        <v>6</v>
      </c>
      <c r="F55" s="35">
        <v>50</v>
      </c>
    </row>
    <row r="57" spans="2:6" ht="15" thickBot="1" x14ac:dyDescent="0.4"/>
    <row r="58" spans="2:6" s="13" customFormat="1" ht="24.5" customHeight="1" thickBot="1" x14ac:dyDescent="0.4">
      <c r="B58" s="123" t="s">
        <v>98</v>
      </c>
      <c r="C58" s="124"/>
      <c r="D58" s="124"/>
      <c r="E58" s="124"/>
      <c r="F58" s="125"/>
    </row>
    <row r="59" spans="2:6" s="8" customFormat="1" ht="28" customHeight="1" thickBot="1" x14ac:dyDescent="0.4">
      <c r="B59" s="9"/>
      <c r="C59" s="10" t="s">
        <v>63</v>
      </c>
      <c r="D59" s="10" t="s">
        <v>80</v>
      </c>
      <c r="E59" s="11" t="s">
        <v>64</v>
      </c>
      <c r="F59" s="12" t="s">
        <v>89</v>
      </c>
    </row>
    <row r="60" spans="2:6" s="39" customFormat="1" ht="15.5" x14ac:dyDescent="0.35">
      <c r="B60" s="49">
        <v>1</v>
      </c>
      <c r="C60" s="37" t="s">
        <v>69</v>
      </c>
      <c r="D60" s="38">
        <v>10213177</v>
      </c>
      <c r="E60" s="36" t="s">
        <v>0</v>
      </c>
      <c r="F60" s="50">
        <v>62</v>
      </c>
    </row>
    <row r="61" spans="2:6" s="39" customFormat="1" ht="15.5" x14ac:dyDescent="0.35">
      <c r="B61" s="51">
        <f>1+B60</f>
        <v>2</v>
      </c>
      <c r="C61" s="25" t="s">
        <v>72</v>
      </c>
      <c r="D61" s="26">
        <v>14448951</v>
      </c>
      <c r="E61" s="40" t="s">
        <v>1</v>
      </c>
      <c r="F61" s="52">
        <v>56</v>
      </c>
    </row>
    <row r="62" spans="2:6" s="39" customFormat="1" ht="15.5" x14ac:dyDescent="0.35">
      <c r="B62" s="51">
        <f t="shared" ref="B62:B65" si="1">1+B61</f>
        <v>3</v>
      </c>
      <c r="C62" s="41" t="s">
        <v>75</v>
      </c>
      <c r="D62" s="42">
        <v>17071853</v>
      </c>
      <c r="E62" s="40" t="s">
        <v>70</v>
      </c>
      <c r="F62" s="52">
        <v>50</v>
      </c>
    </row>
    <row r="63" spans="2:6" s="39" customFormat="1" ht="15.5" x14ac:dyDescent="0.35">
      <c r="B63" s="49">
        <f t="shared" si="1"/>
        <v>4</v>
      </c>
      <c r="C63" s="37" t="s">
        <v>71</v>
      </c>
      <c r="D63" s="38">
        <v>10451152</v>
      </c>
      <c r="E63" s="36" t="s">
        <v>4</v>
      </c>
      <c r="F63" s="50">
        <v>50</v>
      </c>
    </row>
    <row r="64" spans="2:6" s="39" customFormat="1" ht="13.75" customHeight="1" x14ac:dyDescent="0.35">
      <c r="B64" s="51">
        <f t="shared" si="1"/>
        <v>5</v>
      </c>
      <c r="C64" s="25" t="s">
        <v>95</v>
      </c>
      <c r="D64" s="26">
        <v>17071587</v>
      </c>
      <c r="E64" s="40" t="s">
        <v>74</v>
      </c>
      <c r="F64" s="52">
        <v>50</v>
      </c>
    </row>
    <row r="65" spans="1:11" s="17" customFormat="1" ht="16" customHeight="1" x14ac:dyDescent="0.35">
      <c r="B65" s="51">
        <f t="shared" si="1"/>
        <v>6</v>
      </c>
      <c r="C65" s="25" t="s">
        <v>73</v>
      </c>
      <c r="D65" s="26">
        <v>30633628</v>
      </c>
      <c r="E65" s="40" t="s">
        <v>74</v>
      </c>
      <c r="F65" s="52">
        <v>50</v>
      </c>
      <c r="G65" s="39"/>
    </row>
    <row r="67" spans="1:11" s="39" customFormat="1" ht="16" customHeight="1" thickBot="1" x14ac:dyDescent="0.4">
      <c r="B67" s="71"/>
      <c r="D67" s="71"/>
      <c r="E67" s="72"/>
      <c r="F67" s="73"/>
    </row>
    <row r="68" spans="1:11" s="86" customFormat="1" ht="27.5" customHeight="1" thickBot="1" x14ac:dyDescent="0.4">
      <c r="A68" s="85" t="s">
        <v>61</v>
      </c>
      <c r="B68" s="120" t="s">
        <v>92</v>
      </c>
      <c r="C68" s="121"/>
      <c r="D68" s="121"/>
      <c r="E68" s="121"/>
      <c r="F68" s="122"/>
      <c r="K68" s="97"/>
    </row>
    <row r="69" spans="1:11" s="97" customFormat="1" ht="27.5" customHeight="1" thickBot="1" x14ac:dyDescent="0.4">
      <c r="B69" s="101"/>
      <c r="C69" s="10" t="s">
        <v>63</v>
      </c>
      <c r="D69" s="10" t="s">
        <v>80</v>
      </c>
      <c r="E69" s="11" t="s">
        <v>64</v>
      </c>
      <c r="F69" s="12" t="s">
        <v>89</v>
      </c>
    </row>
    <row r="70" spans="1:11" s="39" customFormat="1" ht="18.5" customHeight="1" x14ac:dyDescent="0.35">
      <c r="B70" s="56">
        <v>1</v>
      </c>
      <c r="C70" s="98" t="s">
        <v>48</v>
      </c>
      <c r="D70" s="99">
        <v>8449989</v>
      </c>
      <c r="E70" s="100" t="s">
        <v>49</v>
      </c>
      <c r="F70" s="102">
        <v>2.1</v>
      </c>
    </row>
    <row r="71" spans="1:11" s="39" customFormat="1" ht="18.5" customHeight="1" x14ac:dyDescent="0.35">
      <c r="B71" s="58">
        <v>2</v>
      </c>
      <c r="C71" s="74" t="s">
        <v>50</v>
      </c>
      <c r="D71" s="75">
        <v>5718493</v>
      </c>
      <c r="E71" s="76" t="s">
        <v>6</v>
      </c>
      <c r="F71" s="103">
        <v>2</v>
      </c>
    </row>
    <row r="72" spans="1:11" s="39" customFormat="1" ht="18.5" customHeight="1" x14ac:dyDescent="0.35">
      <c r="B72" s="58">
        <v>3</v>
      </c>
      <c r="C72" s="77" t="s">
        <v>54</v>
      </c>
      <c r="D72" s="78">
        <v>11246551</v>
      </c>
      <c r="E72" s="79" t="s">
        <v>49</v>
      </c>
      <c r="F72" s="83">
        <v>2.1</v>
      </c>
    </row>
    <row r="73" spans="1:11" s="39" customFormat="1" ht="18.5" customHeight="1" thickBot="1" x14ac:dyDescent="0.4">
      <c r="B73" s="68">
        <v>4</v>
      </c>
      <c r="C73" s="104" t="s">
        <v>55</v>
      </c>
      <c r="D73" s="105">
        <v>18793249</v>
      </c>
      <c r="E73" s="106" t="s">
        <v>6</v>
      </c>
      <c r="F73" s="84">
        <v>2</v>
      </c>
    </row>
    <row r="74" spans="1:11" s="39" customFormat="1" ht="16" customHeight="1" x14ac:dyDescent="0.35">
      <c r="B74" s="71"/>
      <c r="D74" s="80"/>
      <c r="E74" s="72"/>
      <c r="F74" s="73"/>
    </row>
    <row r="75" spans="1:11" s="39" customFormat="1" ht="16" customHeight="1" thickBot="1" x14ac:dyDescent="0.4">
      <c r="B75" s="71"/>
      <c r="D75" s="80"/>
      <c r="E75" s="72"/>
      <c r="F75" s="73"/>
    </row>
    <row r="76" spans="1:11" s="39" customFormat="1" ht="26.5" customHeight="1" thickBot="1" x14ac:dyDescent="0.4">
      <c r="B76" s="120" t="s">
        <v>93</v>
      </c>
      <c r="C76" s="121"/>
      <c r="D76" s="121"/>
      <c r="E76" s="121"/>
      <c r="F76" s="122"/>
    </row>
    <row r="77" spans="1:11" s="39" customFormat="1" ht="26.5" customHeight="1" thickBot="1" x14ac:dyDescent="0.4">
      <c r="B77" s="107"/>
      <c r="C77" s="10" t="s">
        <v>63</v>
      </c>
      <c r="D77" s="10" t="s">
        <v>80</v>
      </c>
      <c r="E77" s="11" t="s">
        <v>64</v>
      </c>
      <c r="F77" s="12" t="s">
        <v>89</v>
      </c>
    </row>
    <row r="78" spans="1:11" s="39" customFormat="1" ht="18" customHeight="1" x14ac:dyDescent="0.35">
      <c r="B78" s="56">
        <v>1</v>
      </c>
      <c r="C78" s="98" t="s">
        <v>78</v>
      </c>
      <c r="D78" s="99">
        <v>12845910</v>
      </c>
      <c r="E78" s="100" t="s">
        <v>49</v>
      </c>
      <c r="F78" s="102">
        <v>2.1</v>
      </c>
    </row>
    <row r="79" spans="1:11" s="39" customFormat="1" ht="18" customHeight="1" x14ac:dyDescent="0.35">
      <c r="B79" s="58">
        <v>2</v>
      </c>
      <c r="C79" s="74" t="s">
        <v>91</v>
      </c>
      <c r="D79" s="75">
        <v>17333856</v>
      </c>
      <c r="E79" s="76" t="s">
        <v>6</v>
      </c>
      <c r="F79" s="103">
        <v>2</v>
      </c>
    </row>
    <row r="80" spans="1:11" s="39" customFormat="1" ht="18" customHeight="1" x14ac:dyDescent="0.35">
      <c r="B80" s="58">
        <v>3</v>
      </c>
      <c r="C80" s="81" t="s">
        <v>52</v>
      </c>
      <c r="D80" s="82">
        <v>11247127</v>
      </c>
      <c r="E80" s="76" t="s">
        <v>49</v>
      </c>
      <c r="F80" s="103">
        <v>2.1</v>
      </c>
    </row>
    <row r="81" spans="2:6" s="39" customFormat="1" ht="18" customHeight="1" thickBot="1" x14ac:dyDescent="0.4">
      <c r="B81" s="68">
        <v>4</v>
      </c>
      <c r="C81" s="108" t="s">
        <v>51</v>
      </c>
      <c r="D81" s="109">
        <v>18795770</v>
      </c>
      <c r="E81" s="110" t="s">
        <v>6</v>
      </c>
      <c r="F81" s="111">
        <v>2</v>
      </c>
    </row>
    <row r="82" spans="2:6" s="39" customFormat="1" ht="16" customHeight="1" x14ac:dyDescent="0.35">
      <c r="B82" s="71"/>
      <c r="D82" s="71"/>
      <c r="E82" s="72"/>
      <c r="F82" s="73"/>
    </row>
    <row r="83" spans="2:6" s="39" customFormat="1" ht="16" customHeight="1" thickBot="1" x14ac:dyDescent="0.4">
      <c r="B83" s="71"/>
      <c r="D83" s="71"/>
      <c r="E83" s="72"/>
      <c r="F83" s="73"/>
    </row>
    <row r="84" spans="2:6" s="39" customFormat="1" ht="28.5" customHeight="1" thickBot="1" x14ac:dyDescent="0.4">
      <c r="B84" s="120" t="s">
        <v>94</v>
      </c>
      <c r="C84" s="121"/>
      <c r="D84" s="121"/>
      <c r="E84" s="121"/>
      <c r="F84" s="122"/>
    </row>
    <row r="85" spans="2:6" s="39" customFormat="1" ht="28.5" customHeight="1" thickBot="1" x14ac:dyDescent="0.4">
      <c r="B85" s="107"/>
      <c r="C85" s="10" t="s">
        <v>63</v>
      </c>
      <c r="D85" s="10" t="s">
        <v>80</v>
      </c>
      <c r="E85" s="11" t="s">
        <v>64</v>
      </c>
      <c r="F85" s="12" t="s">
        <v>89</v>
      </c>
    </row>
    <row r="86" spans="2:6" s="39" customFormat="1" ht="18.5" customHeight="1" x14ac:dyDescent="0.35">
      <c r="B86" s="56">
        <v>1</v>
      </c>
      <c r="C86" s="112" t="s">
        <v>56</v>
      </c>
      <c r="D86" s="113">
        <v>10213559</v>
      </c>
      <c r="E86" s="114" t="s">
        <v>49</v>
      </c>
      <c r="F86" s="115">
        <v>2.1</v>
      </c>
    </row>
    <row r="87" spans="2:6" s="39" customFormat="1" ht="18.5" customHeight="1" x14ac:dyDescent="0.35">
      <c r="B87" s="58">
        <v>2</v>
      </c>
      <c r="C87" s="77" t="s">
        <v>57</v>
      </c>
      <c r="D87" s="78">
        <v>16833222</v>
      </c>
      <c r="E87" s="79" t="s">
        <v>6</v>
      </c>
      <c r="F87" s="83">
        <v>2</v>
      </c>
    </row>
    <row r="88" spans="2:6" s="39" customFormat="1" ht="18.5" customHeight="1" x14ac:dyDescent="0.35">
      <c r="B88" s="58">
        <v>3</v>
      </c>
      <c r="C88" s="77" t="s">
        <v>59</v>
      </c>
      <c r="D88" s="78">
        <v>13863894</v>
      </c>
      <c r="E88" s="79" t="s">
        <v>49</v>
      </c>
      <c r="F88" s="83">
        <v>2.1</v>
      </c>
    </row>
    <row r="89" spans="2:6" s="39" customFormat="1" ht="18.5" customHeight="1" thickBot="1" x14ac:dyDescent="0.4">
      <c r="B89" s="68">
        <v>4</v>
      </c>
      <c r="C89" s="116" t="s">
        <v>53</v>
      </c>
      <c r="D89" s="117">
        <v>7862683</v>
      </c>
      <c r="E89" s="118" t="s">
        <v>6</v>
      </c>
      <c r="F89" s="111">
        <v>2</v>
      </c>
    </row>
    <row r="90" spans="2:6" s="39" customFormat="1" ht="16" customHeight="1" x14ac:dyDescent="0.35">
      <c r="B90" s="71"/>
      <c r="D90" s="71"/>
      <c r="E90" s="72"/>
      <c r="F90" s="73"/>
    </row>
    <row r="91" spans="2:6" x14ac:dyDescent="0.35">
      <c r="C91" s="5"/>
      <c r="E91" s="45"/>
      <c r="F91" s="4"/>
    </row>
    <row r="92" spans="2:6" ht="10" customHeight="1" x14ac:dyDescent="0.35"/>
    <row r="93" spans="2:6" x14ac:dyDescent="0.35">
      <c r="D93" s="7"/>
    </row>
  </sheetData>
  <mergeCells count="7">
    <mergeCell ref="B3:F3"/>
    <mergeCell ref="B76:F76"/>
    <mergeCell ref="B84:F84"/>
    <mergeCell ref="B68:F68"/>
    <mergeCell ref="B26:F26"/>
    <mergeCell ref="B58:F58"/>
    <mergeCell ref="B44:F44"/>
  </mergeCells>
  <pageMargins left="0.25" right="0.25" top="0.75" bottom="0.75" header="0.3" footer="0.3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</dc:creator>
  <cp:lastModifiedBy>Juan Lossada</cp:lastModifiedBy>
  <cp:lastPrinted>2026-03-23T15:17:56Z</cp:lastPrinted>
  <dcterms:created xsi:type="dcterms:W3CDTF">2025-12-30T19:15:58Z</dcterms:created>
  <dcterms:modified xsi:type="dcterms:W3CDTF">2026-03-27T19:28:22Z</dcterms:modified>
</cp:coreProperties>
</file>